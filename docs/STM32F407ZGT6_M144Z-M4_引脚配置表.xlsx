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430"/>
  </bookViews>
  <sheets>
    <sheet name="引脚配置表" sheetId="1" r:id="rId1"/>
    <sheet name="变更与检查" sheetId="2" r:id="rId2"/>
    <sheet name="说明与来源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<sst xmlns="http://schemas.openxmlformats.org/spreadsheetml/2006/main" count="343" uniqueCount="252">
  <si>
    <t>正点原子 M144Z-M4（STM32F407ZGT6）引脚配置表</t>
  </si>
  <si>
    <t>方案假设：8 路巡线传感器共用 1 路 EN；编码器采用硬件定时器 Encoder Mode；电机 PWM 与舵机 PWM 分开定时器。</t>
  </si>
  <si>
    <t>序号</t>
  </si>
  <si>
    <t>模块分类</t>
  </si>
  <si>
    <t>信号名称</t>
  </si>
  <si>
    <t>CubeMX 配置</t>
  </si>
  <si>
    <t>引脚</t>
  </si>
  <si>
    <t>建议用户标签</t>
  </si>
  <si>
    <t>配置状态</t>
  </si>
  <si>
    <t>上电默认/备注</t>
  </si>
  <si>
    <t>巡线 ADC</t>
  </si>
  <si>
    <t>巡线 ADC1</t>
  </si>
  <si>
    <t>ADC1_IN8</t>
  </si>
  <si>
    <t>PB0</t>
  </si>
  <si>
    <t>LINE_ADC1</t>
  </si>
  <si>
    <t>已配置，保留</t>
  </si>
  <si>
    <t>模拟输入</t>
  </si>
  <si>
    <t>巡线 ADC2</t>
  </si>
  <si>
    <t>ADC1_IN9</t>
  </si>
  <si>
    <t>PB1</t>
  </si>
  <si>
    <t>LINE_ADC2</t>
  </si>
  <si>
    <t>巡线 ADC3</t>
  </si>
  <si>
    <t>ADC1_IN10</t>
  </si>
  <si>
    <t>PC0</t>
  </si>
  <si>
    <t>LINE_ADC3</t>
  </si>
  <si>
    <t>巡线 ADC4</t>
  </si>
  <si>
    <t>ADC1_IN11</t>
  </si>
  <si>
    <t>PC1</t>
  </si>
  <si>
    <t>LINE_ADC4</t>
  </si>
  <si>
    <t>巡线 ADC5</t>
  </si>
  <si>
    <t>ADC1_IN12</t>
  </si>
  <si>
    <t>PC2</t>
  </si>
  <si>
    <t>LINE_ADC5</t>
  </si>
  <si>
    <t>巡线 ADC6</t>
  </si>
  <si>
    <t>ADC1_IN13</t>
  </si>
  <si>
    <t>PC3</t>
  </si>
  <si>
    <t>LINE_ADC6</t>
  </si>
  <si>
    <t>巡线 ADC7</t>
  </si>
  <si>
    <t>ADC1_IN14</t>
  </si>
  <si>
    <t>PC4</t>
  </si>
  <si>
    <t>LINE_ADC7</t>
  </si>
  <si>
    <t>巡线 ADC8</t>
  </si>
  <si>
    <t>ADC1_IN15</t>
  </si>
  <si>
    <t>PC5</t>
  </si>
  <si>
    <t>LINE_ADC8</t>
  </si>
  <si>
    <t>巡线控制</t>
  </si>
  <si>
    <t>巡线模块总使能</t>
  </si>
  <si>
    <t>GPIO_Output</t>
  </si>
  <si>
    <t>PE2</t>
  </si>
  <si>
    <t>LINE_EN</t>
  </si>
  <si>
    <t>新增</t>
  </si>
  <si>
    <t>Low；系统初始化完成后拉高</t>
  </si>
  <si>
    <t>OLED</t>
  </si>
  <si>
    <t>OLED 时钟</t>
  </si>
  <si>
    <t>I2C1_SCL</t>
  </si>
  <si>
    <t>PB6</t>
  </si>
  <si>
    <t>OLED_SCL</t>
  </si>
  <si>
    <t>开漏；外部上拉至 3.3 V</t>
  </si>
  <si>
    <t>OLED 数据</t>
  </si>
  <si>
    <t>I2C1_SDA</t>
  </si>
  <si>
    <t>PB7</t>
  </si>
  <si>
    <t>OLED_SDA</t>
  </si>
  <si>
    <t>MPU6050</t>
  </si>
  <si>
    <t>MPU6050 时钟</t>
  </si>
  <si>
    <t>I2C2_SCL</t>
  </si>
  <si>
    <t>PB10</t>
  </si>
  <si>
    <t>MPU_SCL</t>
  </si>
  <si>
    <t>建议迁移</t>
  </si>
  <si>
    <t>由 PF1 迁移；开漏</t>
  </si>
  <si>
    <t>MPU6050 数据</t>
  </si>
  <si>
    <t>I2C2_SDA</t>
  </si>
  <si>
    <t>PB11</t>
  </si>
  <si>
    <t>MPU_SDA</t>
  </si>
  <si>
    <t>由 PF0 迁移；开漏</t>
  </si>
  <si>
    <t>调试串口</t>
  </si>
  <si>
    <t>DEBUG 发送</t>
  </si>
  <si>
    <t>USART1_TX</t>
  </si>
  <si>
    <t>PA9</t>
  </si>
  <si>
    <t>DEBUG_TX</t>
  </si>
  <si>
    <t>建议 115200 bit/s</t>
  </si>
  <si>
    <t>DEBUG 接收</t>
  </si>
  <si>
    <t>USART1_RX</t>
  </si>
  <si>
    <t>PA10</t>
  </si>
  <si>
    <t>DEBUG_RX</t>
  </si>
  <si>
    <t>蓝牙通信</t>
  </si>
  <si>
    <t>蓝牙发送</t>
  </si>
  <si>
    <t>USART2_TX</t>
  </si>
  <si>
    <t>PA2</t>
  </si>
  <si>
    <t>BT_TX</t>
  </si>
  <si>
    <t>波特率按蓝牙模块配置</t>
  </si>
  <si>
    <t>蓝牙接收</t>
  </si>
  <si>
    <t>USART2_RX</t>
  </si>
  <si>
    <t>PA3</t>
  </si>
  <si>
    <t>BT_RX</t>
  </si>
  <si>
    <t>建议 DMA + IDLE 接收</t>
  </si>
  <si>
    <t>视觉模块</t>
  </si>
  <si>
    <t>视觉发送</t>
  </si>
  <si>
    <t>USART6_TX</t>
  </si>
  <si>
    <t>PG14</t>
  </si>
  <si>
    <t>VISION_TX</t>
  </si>
  <si>
    <t>从 USART3 迁移</t>
  </si>
  <si>
    <t>STM32 TX → 视觉 RX</t>
  </si>
  <si>
    <t>视觉接收</t>
  </si>
  <si>
    <t>USART6_RX</t>
  </si>
  <si>
    <t>PG9</t>
  </si>
  <si>
    <t>VISION_RX</t>
  </si>
  <si>
    <t>STM32 RX ← 视觉 TX；建议 DMA + IDLE</t>
  </si>
  <si>
    <t>左编码器</t>
  </si>
  <si>
    <t>左编码器 A 相</t>
  </si>
  <si>
    <t>TIM3_CH1</t>
  </si>
  <si>
    <t>PC6</t>
  </si>
  <si>
    <t>ENC_L_A</t>
  </si>
  <si>
    <t>TIM3 Encoder Mode</t>
  </si>
  <si>
    <t>左编码器 B 相</t>
  </si>
  <si>
    <t>TIM3_CH2</t>
  </si>
  <si>
    <t>PC7</t>
  </si>
  <si>
    <t>ENC_L_B</t>
  </si>
  <si>
    <t>右编码器</t>
  </si>
  <si>
    <t>右编码器 A 相</t>
  </si>
  <si>
    <t>TIM4_CH1</t>
  </si>
  <si>
    <t>PD12</t>
  </si>
  <si>
    <t>ENC_R_A</t>
  </si>
  <si>
    <t>TIM5 Encoder Mode</t>
  </si>
  <si>
    <t>右编码器 B 相</t>
  </si>
  <si>
    <t>TIM4_CH2</t>
  </si>
  <si>
    <t>PD13</t>
  </si>
  <si>
    <t>ENC_R_B</t>
  </si>
  <si>
    <t>电机 PWM</t>
  </si>
  <si>
    <t>左电机 PWM</t>
  </si>
  <si>
    <t>TIM9_CH1</t>
  </si>
  <si>
    <t>PE5</t>
  </si>
  <si>
    <t>MOTOR_L_PWM</t>
  </si>
  <si>
    <t>上电占空比 0%；建议 20 kHz</t>
  </si>
  <si>
    <t>右电机 PWM</t>
  </si>
  <si>
    <t>TIM9_CH2</t>
  </si>
  <si>
    <t>PE6</t>
  </si>
  <si>
    <t>MOTOR_R_PWM</t>
  </si>
  <si>
    <t>舵机 PWM</t>
  </si>
  <si>
    <t>摆杆舵机 PWM</t>
  </si>
  <si>
    <t>TIM1_CH1</t>
  </si>
  <si>
    <t>PA8</t>
  </si>
  <si>
    <t>SERVO_PWM</t>
  </si>
  <si>
    <t>建议 50 Hz；初始安全中位</t>
  </si>
  <si>
    <t>电机方向</t>
  </si>
  <si>
    <t>左电机方向 1</t>
  </si>
  <si>
    <t>PG6</t>
  </si>
  <si>
    <t>MOTOR_L_IN1</t>
  </si>
  <si>
    <t>Low</t>
  </si>
  <si>
    <t>左电机方向 2</t>
  </si>
  <si>
    <t>PG7</t>
  </si>
  <si>
    <t>MOTOR_L_IN2</t>
  </si>
  <si>
    <t>右电机方向 1</t>
  </si>
  <si>
    <t>PG8</t>
  </si>
  <si>
    <t>MOTOR_R_IN1</t>
  </si>
  <si>
    <t>右电机方向 2</t>
  </si>
  <si>
    <t>PG11</t>
  </si>
  <si>
    <t>MOTOR_R_IN2</t>
  </si>
  <si>
    <t>电机驱动</t>
  </si>
  <si>
    <t>TB6612 待机控制</t>
  </si>
  <si>
    <t>PE3</t>
  </si>
  <si>
    <t>MOTOR_STBY</t>
  </si>
  <si>
    <t>建议配置</t>
  </si>
  <si>
    <t>Low；启动前保持待机</t>
  </si>
  <si>
    <t>人机交互</t>
  </si>
  <si>
    <t>独立启动按键</t>
  </si>
  <si>
    <t>GPIO_EXTI</t>
  </si>
  <si>
    <t>PG15</t>
  </si>
  <si>
    <t>START_KEY</t>
  </si>
  <si>
    <t>按实际电路选择上拉/下拉</t>
  </si>
  <si>
    <t>CubeMX 配置变更与核对清单</t>
  </si>
  <si>
    <t>检查项目</t>
  </si>
  <si>
    <t>原配置/现状</t>
  </si>
  <si>
    <t>推荐配置</t>
  </si>
  <si>
    <t>CubeMX 操作</t>
  </si>
  <si>
    <t>核对结果</t>
  </si>
  <si>
    <t>I2C2 引脚</t>
  </si>
  <si>
    <t>PF1=SCL，PF0=SDA</t>
  </si>
  <si>
    <t>PB10=SCL，PB11=SDA</t>
  </si>
  <si>
    <t>关闭原 I2C2 引脚后，重新选择 PB10/PB11</t>
  </si>
  <si>
    <t>待核对</t>
  </si>
  <si>
    <t>视觉串口</t>
  </si>
  <si>
    <t>USART3：PB10/PB11</t>
  </si>
  <si>
    <t>USART6：PG14/PG9</t>
  </si>
  <si>
    <t>关闭 USART3 后启用 USART6 Asynchronous</t>
  </si>
  <si>
    <t>未配置/普通 GPIO</t>
  </si>
  <si>
    <t>TIM3：PC6/PC7</t>
  </si>
  <si>
    <t>Combined Channels → Encoder Mode</t>
  </si>
  <si>
    <t>TIM5：PH10/PH11</t>
  </si>
  <si>
    <t>未配置</t>
  </si>
  <si>
    <t>TIM9_CH1/CH2：PE5/PE6</t>
  </si>
  <si>
    <t>两路 PWM 同频，初始 Pulse=0</t>
  </si>
  <si>
    <t>TIM1_CH1：PA8</t>
  </si>
  <si>
    <t>PWM Generation CH1；约 50 Hz</t>
  </si>
  <si>
    <t>PG6/PG7/PG8/PG11</t>
  </si>
  <si>
    <t>GPIO_Output；默认 Low</t>
  </si>
  <si>
    <t>电机待机</t>
  </si>
  <si>
    <t>PE3：MOTOR_STBY</t>
  </si>
  <si>
    <t>巡线总使能</t>
  </si>
  <si>
    <t>PE2：LINE_EN</t>
  </si>
  <si>
    <t>GPIO_Output；初始化完成后拉高</t>
  </si>
  <si>
    <t>启动按键</t>
  </si>
  <si>
    <t>PG15：START_KEY</t>
  </si>
  <si>
    <t>GPIO_EXTI；按电路选择 Pull-up/Pull-down</t>
  </si>
  <si>
    <t>SWD 调试</t>
  </si>
  <si>
    <t>需保留</t>
  </si>
  <si>
    <t>PA13/PA14</t>
  </si>
  <si>
    <t>SYS → Debug → Serial Wire</t>
  </si>
  <si>
    <t>ADC1</t>
  </si>
  <si>
    <t>IN8～IN15 已配置</t>
  </si>
  <si>
    <t>保持 PB0/PB1/PC0～PC5</t>
  </si>
  <si>
    <t>Scan + DMA Circular；按左右顺序设置 Rank</t>
  </si>
  <si>
    <t>定时器资源分配摘要</t>
  </si>
  <si>
    <t>定时器</t>
  </si>
  <si>
    <t>用途</t>
  </si>
  <si>
    <t>通道/引脚</t>
  </si>
  <si>
    <t>建议初始参数</t>
  </si>
  <si>
    <t>TIM3</t>
  </si>
  <si>
    <t>左轮编码器</t>
  </si>
  <si>
    <t>CH1=PC6，CH2=PC7</t>
  </si>
  <si>
    <t>Encoder Mode；数字滤波从 6 起调</t>
  </si>
  <si>
    <t>TIM5</t>
  </si>
  <si>
    <t>右轮编码器</t>
  </si>
  <si>
    <t>CH1=PH10，CH2=PH11</t>
  </si>
  <si>
    <t>Encoder Mode；32 位计数</t>
  </si>
  <si>
    <t>TIM9</t>
  </si>
  <si>
    <t>左右电机 PWM</t>
  </si>
  <si>
    <t>CH1=PE5，CH2=PE6</t>
  </si>
  <si>
    <t>约 20 kHz；上电占空比 0%</t>
  </si>
  <si>
    <t>TIM1</t>
  </si>
  <si>
    <t>CH1=PA8</t>
  </si>
  <si>
    <t>约 50 Hz；先限制机械安全行程</t>
  </si>
  <si>
    <t>说明与来源</t>
  </si>
  <si>
    <t>类别</t>
  </si>
  <si>
    <t>内容</t>
  </si>
  <si>
    <t>来源/链接</t>
  </si>
  <si>
    <t>备注</t>
  </si>
  <si>
    <t>芯片资料</t>
  </si>
  <si>
    <t>STM32F407ZG 数据手册与复用功能核对</t>
  </si>
  <si>
    <t>https://www.st.com/resource/en/datasheet/dm00037051.pdf</t>
  </si>
  <si>
    <t>最终配置前应以数据手册 AF 表和 CubeMX 无冲突状态为准</t>
  </si>
  <si>
    <t>板卡资料</t>
  </si>
  <si>
    <t>正点原子 M144Z-M4 板载资源与原理图核对</t>
  </si>
  <si>
    <t>https://cdn.shopify.com/s/files/1/0668/0641/5437/files/E02012-schematic.pdf?v=1762038289</t>
  </si>
  <si>
    <t>重点核对 SRAM、Flash、EEPROM、TF 卡、按键和调试接口占用</t>
  </si>
  <si>
    <t>赛题要求</t>
  </si>
  <si>
    <t>车载平衡滚球运动控制系统 H 题</t>
  </si>
  <si>
    <t>用户在本对话上传的 H题_车载平衡滚球运动控制系统.pdf</t>
  </si>
  <si>
    <t>题目要求启动按键、车载显示、摄像头检测钢球位置及图传录像</t>
  </si>
  <si>
    <t>方案假设</t>
  </si>
  <si>
    <t>8 路巡线模块共用一个 EN</t>
  </si>
  <si>
    <t/>
  </si>
  <si>
    <t>若为 8 个独立 EN，需另行扩展 7 个 GPIO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</si>
</sst>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Carlito"/>
      <charset val="134"/>
    </font>
    <font>
      <b/>
      <sz val="15"/>
      <color rgb="FFFFFFFF"/>
      <name val="Carlito"/>
      <charset val="134"/>
    </font>
    <font>
      <b/>
      <sz val="11"/>
      <color rgb="FFFFFFFF"/>
      <name val="Carlito"/>
      <charset val="134"/>
    </font>
    <font>
      <b/>
      <sz val="11"/>
      <name val="Carlito"/>
      <charset val="134"/>
    </font>
    <font>
      <b/>
      <sz val="16"/>
      <color rgb="FFFFFFFF"/>
      <name val="Carlito"/>
      <charset val="134"/>
    </font>
    <font>
      <i/>
      <sz val="10"/>
      <color rgb="FF1F1F1F"/>
      <name val="Carlito"/>
      <charset val="134"/>
    </font>
    <font>
      <sz val="10"/>
      <name val="Carlito"/>
      <charset val="134"/>
    </font>
    <font>
      <b/>
      <sz val="11"/>
      <color rgb="FF7F6000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rgb="FFD9E1F2"/>
      </left>
      <right/>
      <top style="thin">
        <color rgb="FFD9E1F2"/>
      </top>
      <bottom/>
      <diagonal/>
    </border>
    <border>
      <left/>
      <right/>
      <top style="thin">
        <color rgb="FFD9E1F2"/>
      </top>
      <bottom/>
      <diagonal/>
    </border>
    <border>
      <left/>
      <right style="thin">
        <color rgb="FFD9E1F2"/>
      </right>
      <top style="thin">
        <color rgb="FFD9E1F2"/>
      </top>
      <bottom/>
      <diagonal/>
    </border>
    <border>
      <left style="thin">
        <color rgb="FFD9E1F2"/>
      </left>
      <right/>
      <top/>
      <bottom/>
      <diagonal/>
    </border>
    <border>
      <left/>
      <right style="thin">
        <color rgb="FFD9E1F2"/>
      </right>
      <top/>
      <bottom/>
      <diagonal/>
    </border>
    <border>
      <left style="thin">
        <color rgb="FFD9E1F2"/>
      </left>
      <right/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  <border>
      <left/>
      <right style="thin">
        <color rgb="FFD9E1F2"/>
      </right>
      <top/>
      <bottom style="thin">
        <color rgb="FFD9E1F2"/>
      </bottom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/>
      <diagonal/>
    </border>
    <border>
      <left/>
      <right style="thin">
        <color rgb="FFB4C6E7"/>
      </right>
      <top/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3" borderId="2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1" applyNumberFormat="0" applyFill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4" borderId="23" applyNumberFormat="0" applyAlignment="0" applyProtection="0">
      <alignment vertical="center"/>
    </xf>
    <xf numFmtId="0" fontId="18" fillId="15" borderId="24" applyNumberFormat="0" applyAlignment="0" applyProtection="0">
      <alignment vertical="center"/>
    </xf>
    <xf numFmtId="0" fontId="19" fillId="15" borderId="23" applyNumberFormat="0" applyAlignment="0" applyProtection="0">
      <alignment vertical="center"/>
    </xf>
    <xf numFmtId="0" fontId="20" fillId="16" borderId="25" applyNumberFormat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0" fillId="0" borderId="0"/>
  </cellStyleXfs>
  <cellXfs count="60">
    <xf numFmtId="0" fontId="0" fillId="0" borderId="0" xfId="49"/>
    <xf numFmtId="0" fontId="1" fillId="2" borderId="0" xfId="49" applyNumberFormat="1" applyFont="1" applyFill="1" applyBorder="1" applyAlignment="1">
      <alignment horizontal="center"/>
    </xf>
    <xf numFmtId="0" fontId="2" fillId="3" borderId="0" xfId="49" applyNumberFormat="1" applyFont="1" applyFill="1" applyBorder="1" applyAlignment="1">
      <alignment horizontal="center"/>
    </xf>
    <xf numFmtId="0" fontId="0" fillId="0" borderId="1" xfId="49" applyNumberFormat="1" applyFont="1" applyFill="1" applyBorder="1" applyAlignment="1">
      <alignment vertical="top" wrapText="1"/>
    </xf>
    <xf numFmtId="0" fontId="0" fillId="0" borderId="2" xfId="49" applyNumberFormat="1" applyFont="1" applyFill="1" applyBorder="1" applyAlignment="1">
      <alignment vertical="top" wrapText="1"/>
    </xf>
    <xf numFmtId="0" fontId="0" fillId="0" borderId="3" xfId="49" applyNumberFormat="1" applyFont="1" applyFill="1" applyBorder="1" applyAlignment="1">
      <alignment vertical="top" wrapText="1"/>
    </xf>
    <xf numFmtId="0" fontId="0" fillId="0" borderId="4" xfId="49" applyNumberFormat="1" applyFont="1" applyFill="1" applyBorder="1" applyAlignment="1">
      <alignment vertical="top" wrapText="1"/>
    </xf>
    <xf numFmtId="0" fontId="0" fillId="0" borderId="0" xfId="49" applyNumberFormat="1" applyFont="1" applyFill="1" applyBorder="1" applyAlignment="1">
      <alignment vertical="top" wrapText="1"/>
    </xf>
    <xf numFmtId="0" fontId="0" fillId="0" borderId="5" xfId="49" applyNumberFormat="1" applyFont="1" applyFill="1" applyBorder="1" applyAlignment="1">
      <alignment vertical="top" wrapText="1"/>
    </xf>
    <xf numFmtId="0" fontId="0" fillId="0" borderId="6" xfId="49" applyNumberFormat="1" applyFont="1" applyFill="1" applyBorder="1" applyAlignment="1">
      <alignment vertical="top" wrapText="1"/>
    </xf>
    <xf numFmtId="0" fontId="0" fillId="0" borderId="7" xfId="49" applyNumberFormat="1" applyFont="1" applyFill="1" applyBorder="1" applyAlignment="1">
      <alignment vertical="top" wrapText="1"/>
    </xf>
    <xf numFmtId="0" fontId="0" fillId="0" borderId="8" xfId="49" applyNumberFormat="1" applyFont="1" applyFill="1" applyBorder="1" applyAlignment="1">
      <alignment vertical="top" wrapText="1"/>
    </xf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center" vertical="center" wrapText="1"/>
    </xf>
    <xf numFmtId="0" fontId="0" fillId="0" borderId="1" xfId="49" applyNumberFormat="1" applyFont="1" applyFill="1" applyBorder="1" applyAlignment="1">
      <alignment horizontal="center" vertical="center" wrapText="1"/>
    </xf>
    <xf numFmtId="0" fontId="0" fillId="0" borderId="2" xfId="49" applyNumberFormat="1" applyFont="1" applyFill="1" applyBorder="1" applyAlignment="1">
      <alignment vertical="center" wrapText="1"/>
    </xf>
    <xf numFmtId="0" fontId="0" fillId="0" borderId="3" xfId="49" applyNumberFormat="1" applyFont="1" applyFill="1" applyBorder="1" applyAlignment="1">
      <alignment vertical="center" wrapText="1"/>
    </xf>
    <xf numFmtId="0" fontId="0" fillId="0" borderId="4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0" fillId="0" borderId="5" xfId="49" applyNumberFormat="1" applyFont="1" applyFill="1" applyBorder="1" applyAlignment="1">
      <alignment vertical="center" wrapText="1"/>
    </xf>
    <xf numFmtId="0" fontId="0" fillId="0" borderId="6" xfId="49" applyNumberFormat="1" applyFont="1" applyFill="1" applyBorder="1" applyAlignment="1">
      <alignment horizontal="center" vertical="center" wrapText="1"/>
    </xf>
    <xf numFmtId="0" fontId="0" fillId="0" borderId="7" xfId="49" applyNumberFormat="1" applyFont="1" applyFill="1" applyBorder="1" applyAlignment="1">
      <alignment vertical="center" wrapText="1"/>
    </xf>
    <xf numFmtId="0" fontId="0" fillId="0" borderId="8" xfId="49" applyNumberFormat="1" applyFont="1" applyFill="1" applyBorder="1" applyAlignment="1">
      <alignment vertical="center" wrapText="1"/>
    </xf>
    <xf numFmtId="0" fontId="2" fillId="4" borderId="0" xfId="49" applyNumberFormat="1" applyFont="1" applyFill="1" applyBorder="1" applyAlignment="1">
      <alignment horizontal="center"/>
    </xf>
    <xf numFmtId="0" fontId="3" fillId="5" borderId="9" xfId="49" applyNumberFormat="1" applyFont="1" applyFill="1" applyBorder="1" applyAlignment="1">
      <alignment horizontal="center" wrapText="1"/>
    </xf>
    <xf numFmtId="0" fontId="3" fillId="5" borderId="10" xfId="49" applyNumberFormat="1" applyFont="1" applyFill="1" applyBorder="1" applyAlignment="1">
      <alignment horizontal="center" wrapText="1"/>
    </xf>
    <xf numFmtId="0" fontId="3" fillId="5" borderId="11" xfId="49" applyNumberFormat="1" applyFont="1" applyFill="1" applyBorder="1" applyAlignment="1">
      <alignment horizontal="center" wrapText="1"/>
    </xf>
    <xf numFmtId="0" fontId="0" fillId="0" borderId="12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wrapText="1"/>
    </xf>
    <xf numFmtId="0" fontId="0" fillId="0" borderId="13" xfId="49" applyNumberFormat="1" applyFont="1" applyFill="1" applyBorder="1" applyAlignment="1">
      <alignment wrapText="1"/>
    </xf>
    <xf numFmtId="0" fontId="0" fillId="0" borderId="14" xfId="49" applyNumberFormat="1" applyFont="1" applyFill="1" applyBorder="1" applyAlignment="1">
      <alignment wrapText="1"/>
    </xf>
    <xf numFmtId="0" fontId="0" fillId="0" borderId="15" xfId="49" applyNumberFormat="1" applyFont="1" applyFill="1" applyBorder="1" applyAlignment="1">
      <alignment wrapText="1"/>
    </xf>
    <xf numFmtId="0" fontId="0" fillId="0" borderId="16" xfId="49" applyNumberFormat="1" applyFont="1" applyFill="1" applyBorder="1" applyAlignment="1">
      <alignment wrapText="1"/>
    </xf>
    <xf numFmtId="0" fontId="4" fillId="2" borderId="0" xfId="49" applyNumberFormat="1" applyFont="1" applyFill="1" applyBorder="1" applyAlignment="1">
      <alignment horizontal="center" vertical="center"/>
    </xf>
    <xf numFmtId="0" fontId="5" fillId="5" borderId="0" xfId="49" applyNumberFormat="1" applyFont="1" applyFill="1" applyBorder="1" applyAlignment="1">
      <alignment horizontal="left" vertical="center" wrapText="1"/>
    </xf>
    <xf numFmtId="0" fontId="2" fillId="3" borderId="17" xfId="49" applyNumberFormat="1" applyFont="1" applyFill="1" applyBorder="1" applyAlignment="1">
      <alignment horizontal="center" vertical="center" wrapText="1"/>
    </xf>
    <xf numFmtId="0" fontId="2" fillId="3" borderId="18" xfId="49" applyNumberFormat="1" applyFont="1" applyFill="1" applyBorder="1" applyAlignment="1">
      <alignment horizontal="center" vertical="center" wrapText="1"/>
    </xf>
    <xf numFmtId="0" fontId="2" fillId="3" borderId="19" xfId="49" applyNumberFormat="1" applyFont="1" applyFill="1" applyBorder="1" applyAlignment="1">
      <alignment horizontal="center" vertical="center" wrapText="1"/>
    </xf>
    <xf numFmtId="0" fontId="6" fillId="0" borderId="1" xfId="49" applyNumberFormat="1" applyFont="1" applyFill="1" applyBorder="1" applyAlignment="1">
      <alignment horizontal="center" vertical="center" wrapText="1"/>
    </xf>
    <xf numFmtId="0" fontId="6" fillId="6" borderId="2" xfId="49" applyNumberFormat="1" applyFont="1" applyFill="1" applyBorder="1" applyAlignment="1">
      <alignment vertical="center" wrapText="1"/>
    </xf>
    <xf numFmtId="0" fontId="6" fillId="0" borderId="2" xfId="49" applyNumberFormat="1" applyFont="1" applyFill="1" applyBorder="1" applyAlignment="1">
      <alignment vertical="center" wrapText="1"/>
    </xf>
    <xf numFmtId="0" fontId="6" fillId="0" borderId="2" xfId="49" applyNumberFormat="1" applyFont="1" applyFill="1" applyBorder="1" applyAlignment="1">
      <alignment horizontal="center" vertical="center" wrapText="1"/>
    </xf>
    <xf numFmtId="0" fontId="6" fillId="0" borderId="3" xfId="49" applyNumberFormat="1" applyFont="1" applyFill="1" applyBorder="1" applyAlignment="1">
      <alignment vertical="center" wrapText="1"/>
    </xf>
    <xf numFmtId="0" fontId="6" fillId="0" borderId="4" xfId="49" applyNumberFormat="1" applyFont="1" applyFill="1" applyBorder="1" applyAlignment="1">
      <alignment horizontal="center" vertical="center" wrapText="1"/>
    </xf>
    <xf numFmtId="0" fontId="6" fillId="6" borderId="0" xfId="49" applyNumberFormat="1" applyFont="1" applyFill="1" applyBorder="1" applyAlignment="1">
      <alignment vertical="center" wrapText="1"/>
    </xf>
    <xf numFmtId="0" fontId="6" fillId="0" borderId="0" xfId="49" applyNumberFormat="1" applyFont="1" applyFill="1" applyBorder="1" applyAlignment="1">
      <alignment vertical="center" wrapText="1"/>
    </xf>
    <xf numFmtId="0" fontId="6" fillId="0" borderId="0" xfId="49" applyNumberFormat="1" applyFont="1" applyFill="1" applyBorder="1" applyAlignment="1">
      <alignment horizontal="center" vertical="center" wrapText="1"/>
    </xf>
    <xf numFmtId="0" fontId="6" fillId="0" borderId="5" xfId="49" applyNumberFormat="1" applyFont="1" applyFill="1" applyBorder="1" applyAlignment="1">
      <alignment vertical="center" wrapText="1"/>
    </xf>
    <xf numFmtId="0" fontId="6" fillId="7" borderId="0" xfId="49" applyNumberFormat="1" applyFont="1" applyFill="1" applyBorder="1" applyAlignment="1">
      <alignment vertical="center" wrapText="1"/>
    </xf>
    <xf numFmtId="0" fontId="6" fillId="8" borderId="0" xfId="49" applyNumberFormat="1" applyFont="1" applyFill="1" applyBorder="1" applyAlignment="1">
      <alignment vertical="center" wrapText="1"/>
    </xf>
    <xf numFmtId="0" fontId="6" fillId="9" borderId="0" xfId="49" applyNumberFormat="1" applyFont="1" applyFill="1" applyBorder="1" applyAlignment="1">
      <alignment vertical="center" wrapText="1"/>
    </xf>
    <xf numFmtId="0" fontId="6" fillId="10" borderId="0" xfId="49" applyNumberFormat="1" applyFont="1" applyFill="1" applyBorder="1" applyAlignment="1">
      <alignment vertical="center" wrapText="1"/>
    </xf>
    <xf numFmtId="0" fontId="6" fillId="11" borderId="0" xfId="49" applyNumberFormat="1" applyFont="1" applyFill="1" applyBorder="1" applyAlignment="1">
      <alignment vertical="center" wrapText="1"/>
    </xf>
    <xf numFmtId="0" fontId="6" fillId="12" borderId="0" xfId="49" applyNumberFormat="1" applyFont="1" applyFill="1" applyBorder="1" applyAlignment="1">
      <alignment vertical="center" wrapText="1"/>
    </xf>
    <xf numFmtId="0" fontId="6" fillId="0" borderId="6" xfId="49" applyNumberFormat="1" applyFont="1" applyFill="1" applyBorder="1" applyAlignment="1">
      <alignment horizontal="center" vertical="center" wrapText="1"/>
    </xf>
    <xf numFmtId="0" fontId="6" fillId="8" borderId="7" xfId="49" applyNumberFormat="1" applyFont="1" applyFill="1" applyBorder="1" applyAlignment="1">
      <alignment vertical="center" wrapText="1"/>
    </xf>
    <xf numFmtId="0" fontId="6" fillId="0" borderId="7" xfId="49" applyNumberFormat="1" applyFont="1" applyFill="1" applyBorder="1" applyAlignment="1">
      <alignment vertical="center" wrapText="1"/>
    </xf>
    <xf numFmtId="0" fontId="6" fillId="0" borderId="7" xfId="49" applyNumberFormat="1" applyFont="1" applyFill="1" applyBorder="1" applyAlignment="1">
      <alignment horizontal="center" vertical="center" wrapText="1"/>
    </xf>
    <xf numFmtId="0" fontId="6" fillId="0" borderId="8" xfId="49" applyNumberFormat="1" applyFont="1" applyFill="1" applyBorder="1" applyAlignment="1">
      <alignment vertical="center" wrapText="1"/>
    </xf>
    <xf numFmtId="0" fontId="7" fillId="0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4"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666666"/>
      </font>
      <fill>
        <patternFill patternType="solid">
          <bgColor rgb="FFEDEDED"/>
        </patternFill>
      </fill>
    </dxf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color rgb="FF7F6000"/>
      </font>
      <fill>
        <patternFill patternType="solid">
          <bgColor rgb="FFFFF2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inConfigTable" displayName="PinConfigTable" ref="A4:H37">
  <tableColumns count="8">
    <tableColumn id="1" name="序号"/>
    <tableColumn id="2" name="模块分类"/>
    <tableColumn id="3" name="信号名称"/>
    <tableColumn id="4" name="CubeMX 配置"/>
    <tableColumn id="5" name="引脚"/>
    <tableColumn id="6" name="建议用户标签"/>
    <tableColumn id="7" name="配置状态"/>
    <tableColumn id="8" name="上电默认/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nfigCheckTable" displayName="ConfigCheckTable" ref="A3:F15">
  <tableColumns count="6">
    <tableColumn id="1" name="序号"/>
    <tableColumn id="2" name="检查项目"/>
    <tableColumn id="3" name="原配置/现状"/>
    <tableColumn id="4" name="推荐配置"/>
    <tableColumn id="5" name="CubeMX 操作"/>
    <tableColumn id="6" name="核对结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tabSelected="1" topLeftCell="A5" workbookViewId="0">
      <selection activeCell="H37" sqref="A37:H37"/>
    </sheetView>
  </sheetViews>
  <sheetFormatPr defaultColWidth="9" defaultRowHeight="14" outlineLevelCol="7"/>
  <cols>
    <col min="1" max="1" width="7" customWidth="1"/>
    <col min="2" max="2" width="13" customWidth="1"/>
    <col min="3" max="3" width="20" customWidth="1"/>
    <col min="4" max="4" width="19" customWidth="1"/>
    <col min="5" max="5" width="10" customWidth="1"/>
    <col min="6" max="6" width="21" customWidth="1"/>
    <col min="7" max="7" width="17" customWidth="1"/>
    <col min="8" max="8" width="34" customWidth="1"/>
  </cols>
  <sheetData>
    <row r="1" ht="30" customHeight="1" spans="1:8">
      <c r="A1" s="33" t="s">
        <v>0</v>
      </c>
      <c r="B1" s="33"/>
      <c r="C1" s="33"/>
      <c r="D1" s="33"/>
      <c r="E1" s="33"/>
      <c r="F1" s="33"/>
      <c r="G1" s="33"/>
      <c r="H1" s="33"/>
    </row>
    <row r="2" ht="32" customHeight="1" spans="1:8">
      <c r="A2" s="34" t="s">
        <v>1</v>
      </c>
      <c r="B2" s="34"/>
      <c r="C2" s="34"/>
      <c r="D2" s="34"/>
      <c r="E2" s="34"/>
      <c r="F2" s="34"/>
      <c r="G2" s="34"/>
      <c r="H2" s="34"/>
    </row>
    <row r="4" ht="26" customHeight="1" spans="1:8">
      <c r="A4" s="35" t="s">
        <v>2</v>
      </c>
      <c r="B4" s="36" t="s">
        <v>3</v>
      </c>
      <c r="C4" s="36" t="s">
        <v>4</v>
      </c>
      <c r="D4" s="36" t="s">
        <v>5</v>
      </c>
      <c r="E4" s="36" t="s">
        <v>6</v>
      </c>
      <c r="F4" s="36" t="s">
        <v>7</v>
      </c>
      <c r="G4" s="36" t="s">
        <v>8</v>
      </c>
      <c r="H4" s="37" t="s">
        <v>9</v>
      </c>
    </row>
    <row r="5" spans="1:8">
      <c r="A5" s="38">
        <v>1</v>
      </c>
      <c r="B5" s="39" t="s">
        <v>10</v>
      </c>
      <c r="C5" s="40" t="s">
        <v>11</v>
      </c>
      <c r="D5" s="41" t="s">
        <v>12</v>
      </c>
      <c r="E5" s="41" t="s">
        <v>13</v>
      </c>
      <c r="F5" s="41" t="s">
        <v>14</v>
      </c>
      <c r="G5" s="41" t="s">
        <v>15</v>
      </c>
      <c r="H5" s="42" t="s">
        <v>16</v>
      </c>
    </row>
    <row r="6" spans="1:8">
      <c r="A6" s="43">
        <v>2</v>
      </c>
      <c r="B6" s="44" t="s">
        <v>10</v>
      </c>
      <c r="C6" s="45" t="s">
        <v>17</v>
      </c>
      <c r="D6" s="46" t="s">
        <v>18</v>
      </c>
      <c r="E6" s="46" t="s">
        <v>19</v>
      </c>
      <c r="F6" s="46" t="s">
        <v>20</v>
      </c>
      <c r="G6" s="46" t="s">
        <v>15</v>
      </c>
      <c r="H6" s="47" t="s">
        <v>16</v>
      </c>
    </row>
    <row r="7" spans="1:8">
      <c r="A7" s="43">
        <v>3</v>
      </c>
      <c r="B7" s="44" t="s">
        <v>10</v>
      </c>
      <c r="C7" s="45" t="s">
        <v>21</v>
      </c>
      <c r="D7" s="46" t="s">
        <v>22</v>
      </c>
      <c r="E7" s="46" t="s">
        <v>23</v>
      </c>
      <c r="F7" s="46" t="s">
        <v>24</v>
      </c>
      <c r="G7" s="46" t="s">
        <v>15</v>
      </c>
      <c r="H7" s="47" t="s">
        <v>16</v>
      </c>
    </row>
    <row r="8" spans="1:8">
      <c r="A8" s="43">
        <v>4</v>
      </c>
      <c r="B8" s="44" t="s">
        <v>10</v>
      </c>
      <c r="C8" s="45" t="s">
        <v>25</v>
      </c>
      <c r="D8" s="46" t="s">
        <v>26</v>
      </c>
      <c r="E8" s="46" t="s">
        <v>27</v>
      </c>
      <c r="F8" s="46" t="s">
        <v>28</v>
      </c>
      <c r="G8" s="46" t="s">
        <v>15</v>
      </c>
      <c r="H8" s="47" t="s">
        <v>16</v>
      </c>
    </row>
    <row r="9" spans="1:8">
      <c r="A9" s="43">
        <v>5</v>
      </c>
      <c r="B9" s="44" t="s">
        <v>10</v>
      </c>
      <c r="C9" s="45" t="s">
        <v>29</v>
      </c>
      <c r="D9" s="46" t="s">
        <v>30</v>
      </c>
      <c r="E9" s="46" t="s">
        <v>31</v>
      </c>
      <c r="F9" s="46" t="s">
        <v>32</v>
      </c>
      <c r="G9" s="46" t="s">
        <v>15</v>
      </c>
      <c r="H9" s="47" t="s">
        <v>16</v>
      </c>
    </row>
    <row r="10" spans="1:8">
      <c r="A10" s="43">
        <v>6</v>
      </c>
      <c r="B10" s="44" t="s">
        <v>10</v>
      </c>
      <c r="C10" s="45" t="s">
        <v>33</v>
      </c>
      <c r="D10" s="46" t="s">
        <v>34</v>
      </c>
      <c r="E10" s="46" t="s">
        <v>35</v>
      </c>
      <c r="F10" s="46" t="s">
        <v>36</v>
      </c>
      <c r="G10" s="46" t="s">
        <v>15</v>
      </c>
      <c r="H10" s="47" t="s">
        <v>16</v>
      </c>
    </row>
    <row r="11" spans="1:8">
      <c r="A11" s="43">
        <v>7</v>
      </c>
      <c r="B11" s="44" t="s">
        <v>10</v>
      </c>
      <c r="C11" s="45" t="s">
        <v>37</v>
      </c>
      <c r="D11" s="46" t="s">
        <v>38</v>
      </c>
      <c r="E11" s="46" t="s">
        <v>39</v>
      </c>
      <c r="F11" s="46" t="s">
        <v>40</v>
      </c>
      <c r="G11" s="46" t="s">
        <v>15</v>
      </c>
      <c r="H11" s="47" t="s">
        <v>16</v>
      </c>
    </row>
    <row r="12" spans="1:8">
      <c r="A12" s="43">
        <v>8</v>
      </c>
      <c r="B12" s="44" t="s">
        <v>10</v>
      </c>
      <c r="C12" s="45" t="s">
        <v>41</v>
      </c>
      <c r="D12" s="46" t="s">
        <v>42</v>
      </c>
      <c r="E12" s="46" t="s">
        <v>43</v>
      </c>
      <c r="F12" s="46" t="s">
        <v>44</v>
      </c>
      <c r="G12" s="46" t="s">
        <v>15</v>
      </c>
      <c r="H12" s="47" t="s">
        <v>16</v>
      </c>
    </row>
    <row r="13" spans="1:8">
      <c r="A13" s="43">
        <v>9</v>
      </c>
      <c r="B13" s="44" t="s">
        <v>45</v>
      </c>
      <c r="C13" s="45" t="s">
        <v>46</v>
      </c>
      <c r="D13" s="46" t="s">
        <v>47</v>
      </c>
      <c r="E13" s="46" t="s">
        <v>48</v>
      </c>
      <c r="F13" s="46" t="s">
        <v>49</v>
      </c>
      <c r="G13" s="46" t="s">
        <v>50</v>
      </c>
      <c r="H13" s="47" t="s">
        <v>51</v>
      </c>
    </row>
    <row r="14" spans="1:8">
      <c r="A14" s="43">
        <v>10</v>
      </c>
      <c r="B14" s="48" t="s">
        <v>52</v>
      </c>
      <c r="C14" s="45" t="s">
        <v>53</v>
      </c>
      <c r="D14" s="46" t="s">
        <v>54</v>
      </c>
      <c r="E14" s="46" t="s">
        <v>55</v>
      </c>
      <c r="F14" s="46" t="s">
        <v>56</v>
      </c>
      <c r="G14" s="46" t="s">
        <v>15</v>
      </c>
      <c r="H14" s="47" t="s">
        <v>57</v>
      </c>
    </row>
    <row r="15" spans="1:8">
      <c r="A15" s="43">
        <v>11</v>
      </c>
      <c r="B15" s="48" t="s">
        <v>52</v>
      </c>
      <c r="C15" s="45" t="s">
        <v>58</v>
      </c>
      <c r="D15" s="46" t="s">
        <v>59</v>
      </c>
      <c r="E15" s="46" t="s">
        <v>60</v>
      </c>
      <c r="F15" s="46" t="s">
        <v>61</v>
      </c>
      <c r="G15" s="46" t="s">
        <v>15</v>
      </c>
      <c r="H15" s="47" t="s">
        <v>57</v>
      </c>
    </row>
    <row r="16" spans="1:8">
      <c r="A16" s="43">
        <v>12</v>
      </c>
      <c r="B16" s="49" t="s">
        <v>62</v>
      </c>
      <c r="C16" s="45" t="s">
        <v>63</v>
      </c>
      <c r="D16" s="46" t="s">
        <v>64</v>
      </c>
      <c r="E16" s="46" t="s">
        <v>65</v>
      </c>
      <c r="F16" s="46" t="s">
        <v>66</v>
      </c>
      <c r="G16" s="46" t="s">
        <v>67</v>
      </c>
      <c r="H16" s="47" t="s">
        <v>68</v>
      </c>
    </row>
    <row r="17" spans="1:8">
      <c r="A17" s="43">
        <v>13</v>
      </c>
      <c r="B17" s="49" t="s">
        <v>62</v>
      </c>
      <c r="C17" s="45" t="s">
        <v>69</v>
      </c>
      <c r="D17" s="46" t="s">
        <v>70</v>
      </c>
      <c r="E17" s="46" t="s">
        <v>71</v>
      </c>
      <c r="F17" s="46" t="s">
        <v>72</v>
      </c>
      <c r="G17" s="46" t="s">
        <v>67</v>
      </c>
      <c r="H17" s="47" t="s">
        <v>73</v>
      </c>
    </row>
    <row r="18" spans="1:8">
      <c r="A18" s="43">
        <v>14</v>
      </c>
      <c r="B18" s="50" t="s">
        <v>74</v>
      </c>
      <c r="C18" s="45" t="s">
        <v>75</v>
      </c>
      <c r="D18" s="46" t="s">
        <v>76</v>
      </c>
      <c r="E18" s="46" t="s">
        <v>77</v>
      </c>
      <c r="F18" s="46" t="s">
        <v>78</v>
      </c>
      <c r="G18" s="46" t="s">
        <v>15</v>
      </c>
      <c r="H18" s="47" t="s">
        <v>79</v>
      </c>
    </row>
    <row r="19" spans="1:8">
      <c r="A19" s="43">
        <v>15</v>
      </c>
      <c r="B19" s="50" t="s">
        <v>74</v>
      </c>
      <c r="C19" s="45" t="s">
        <v>80</v>
      </c>
      <c r="D19" s="46" t="s">
        <v>81</v>
      </c>
      <c r="E19" s="46" t="s">
        <v>82</v>
      </c>
      <c r="F19" s="46" t="s">
        <v>83</v>
      </c>
      <c r="G19" s="46" t="s">
        <v>15</v>
      </c>
      <c r="H19" s="47" t="s">
        <v>79</v>
      </c>
    </row>
    <row r="20" spans="1:8">
      <c r="A20" s="43">
        <v>16</v>
      </c>
      <c r="B20" s="50" t="s">
        <v>84</v>
      </c>
      <c r="C20" s="45" t="s">
        <v>85</v>
      </c>
      <c r="D20" s="46" t="s">
        <v>86</v>
      </c>
      <c r="E20" s="46" t="s">
        <v>87</v>
      </c>
      <c r="F20" s="46" t="s">
        <v>88</v>
      </c>
      <c r="G20" s="46" t="s">
        <v>15</v>
      </c>
      <c r="H20" s="47" t="s">
        <v>89</v>
      </c>
    </row>
    <row r="21" spans="1:8">
      <c r="A21" s="43">
        <v>17</v>
      </c>
      <c r="B21" s="50" t="s">
        <v>84</v>
      </c>
      <c r="C21" s="45" t="s">
        <v>90</v>
      </c>
      <c r="D21" s="46" t="s">
        <v>91</v>
      </c>
      <c r="E21" s="46" t="s">
        <v>92</v>
      </c>
      <c r="F21" s="46" t="s">
        <v>93</v>
      </c>
      <c r="G21" s="46" t="s">
        <v>15</v>
      </c>
      <c r="H21" s="47" t="s">
        <v>94</v>
      </c>
    </row>
    <row r="22" spans="1:8">
      <c r="A22" s="43">
        <v>18</v>
      </c>
      <c r="B22" s="50" t="s">
        <v>95</v>
      </c>
      <c r="C22" s="45" t="s">
        <v>96</v>
      </c>
      <c r="D22" s="46" t="s">
        <v>97</v>
      </c>
      <c r="E22" s="46" t="s">
        <v>98</v>
      </c>
      <c r="F22" s="46" t="s">
        <v>99</v>
      </c>
      <c r="G22" s="46" t="s">
        <v>100</v>
      </c>
      <c r="H22" s="47" t="s">
        <v>101</v>
      </c>
    </row>
    <row r="23" spans="1:8">
      <c r="A23" s="43">
        <v>19</v>
      </c>
      <c r="B23" s="50" t="s">
        <v>95</v>
      </c>
      <c r="C23" s="45" t="s">
        <v>102</v>
      </c>
      <c r="D23" s="46" t="s">
        <v>103</v>
      </c>
      <c r="E23" s="46" t="s">
        <v>104</v>
      </c>
      <c r="F23" s="46" t="s">
        <v>105</v>
      </c>
      <c r="G23" s="46" t="s">
        <v>100</v>
      </c>
      <c r="H23" s="47" t="s">
        <v>106</v>
      </c>
    </row>
    <row r="24" spans="1:8">
      <c r="A24" s="43">
        <v>20</v>
      </c>
      <c r="B24" s="51" t="s">
        <v>107</v>
      </c>
      <c r="C24" s="45" t="s">
        <v>108</v>
      </c>
      <c r="D24" s="46" t="s">
        <v>109</v>
      </c>
      <c r="E24" s="46" t="s">
        <v>110</v>
      </c>
      <c r="F24" s="46" t="s">
        <v>111</v>
      </c>
      <c r="G24" s="46" t="s">
        <v>50</v>
      </c>
      <c r="H24" s="47" t="s">
        <v>112</v>
      </c>
    </row>
    <row r="25" spans="1:8">
      <c r="A25" s="43">
        <v>21</v>
      </c>
      <c r="B25" s="51" t="s">
        <v>107</v>
      </c>
      <c r="C25" s="45" t="s">
        <v>113</v>
      </c>
      <c r="D25" s="46" t="s">
        <v>114</v>
      </c>
      <c r="E25" s="46" t="s">
        <v>115</v>
      </c>
      <c r="F25" s="46" t="s">
        <v>116</v>
      </c>
      <c r="G25" s="46" t="s">
        <v>50</v>
      </c>
      <c r="H25" s="47" t="s">
        <v>112</v>
      </c>
    </row>
    <row r="26" spans="1:8">
      <c r="A26" s="43">
        <v>22</v>
      </c>
      <c r="B26" s="51" t="s">
        <v>117</v>
      </c>
      <c r="C26" s="45" t="s">
        <v>118</v>
      </c>
      <c r="D26" s="46" t="s">
        <v>119</v>
      </c>
      <c r="E26" s="46" t="s">
        <v>120</v>
      </c>
      <c r="F26" s="46" t="s">
        <v>121</v>
      </c>
      <c r="G26" s="46" t="s">
        <v>50</v>
      </c>
      <c r="H26" s="47" t="s">
        <v>122</v>
      </c>
    </row>
    <row r="27" spans="1:8">
      <c r="A27" s="43">
        <v>23</v>
      </c>
      <c r="B27" s="51" t="s">
        <v>117</v>
      </c>
      <c r="C27" s="45" t="s">
        <v>123</v>
      </c>
      <c r="D27" s="46" t="s">
        <v>124</v>
      </c>
      <c r="E27" s="46" t="s">
        <v>125</v>
      </c>
      <c r="F27" s="46" t="s">
        <v>126</v>
      </c>
      <c r="G27" s="46" t="s">
        <v>50</v>
      </c>
      <c r="H27" s="47" t="s">
        <v>122</v>
      </c>
    </row>
    <row r="28" spans="1:8">
      <c r="A28" s="43">
        <v>24</v>
      </c>
      <c r="B28" s="52" t="s">
        <v>127</v>
      </c>
      <c r="C28" s="45" t="s">
        <v>128</v>
      </c>
      <c r="D28" s="46" t="s">
        <v>129</v>
      </c>
      <c r="E28" s="46" t="s">
        <v>130</v>
      </c>
      <c r="F28" s="46" t="s">
        <v>131</v>
      </c>
      <c r="G28" s="46" t="s">
        <v>50</v>
      </c>
      <c r="H28" s="47" t="s">
        <v>132</v>
      </c>
    </row>
    <row r="29" spans="1:8">
      <c r="A29" s="43">
        <v>25</v>
      </c>
      <c r="B29" s="52" t="s">
        <v>127</v>
      </c>
      <c r="C29" s="45" t="s">
        <v>133</v>
      </c>
      <c r="D29" s="46" t="s">
        <v>134</v>
      </c>
      <c r="E29" s="46" t="s">
        <v>135</v>
      </c>
      <c r="F29" s="46" t="s">
        <v>136</v>
      </c>
      <c r="G29" s="46" t="s">
        <v>50</v>
      </c>
      <c r="H29" s="47" t="s">
        <v>132</v>
      </c>
    </row>
    <row r="30" spans="1:8">
      <c r="A30" s="43">
        <v>26</v>
      </c>
      <c r="B30" s="52" t="s">
        <v>137</v>
      </c>
      <c r="C30" s="45" t="s">
        <v>138</v>
      </c>
      <c r="D30" s="46" t="s">
        <v>139</v>
      </c>
      <c r="E30" s="46" t="s">
        <v>140</v>
      </c>
      <c r="F30" s="46" t="s">
        <v>141</v>
      </c>
      <c r="G30" s="46" t="s">
        <v>50</v>
      </c>
      <c r="H30" s="47" t="s">
        <v>142</v>
      </c>
    </row>
    <row r="31" spans="1:8">
      <c r="A31" s="43">
        <v>27</v>
      </c>
      <c r="B31" s="52" t="s">
        <v>143</v>
      </c>
      <c r="C31" s="45" t="s">
        <v>144</v>
      </c>
      <c r="D31" s="46" t="s">
        <v>47</v>
      </c>
      <c r="E31" s="46" t="s">
        <v>145</v>
      </c>
      <c r="F31" s="46" t="s">
        <v>146</v>
      </c>
      <c r="G31" s="46" t="s">
        <v>50</v>
      </c>
      <c r="H31" s="47" t="s">
        <v>147</v>
      </c>
    </row>
    <row r="32" spans="1:8">
      <c r="A32" s="43">
        <v>28</v>
      </c>
      <c r="B32" s="52" t="s">
        <v>143</v>
      </c>
      <c r="C32" s="45" t="s">
        <v>148</v>
      </c>
      <c r="D32" s="46" t="s">
        <v>47</v>
      </c>
      <c r="E32" s="46" t="s">
        <v>149</v>
      </c>
      <c r="F32" s="46" t="s">
        <v>150</v>
      </c>
      <c r="G32" s="46" t="s">
        <v>50</v>
      </c>
      <c r="H32" s="47" t="s">
        <v>147</v>
      </c>
    </row>
    <row r="33" spans="1:8">
      <c r="A33" s="43">
        <v>29</v>
      </c>
      <c r="B33" s="52" t="s">
        <v>143</v>
      </c>
      <c r="C33" s="45" t="s">
        <v>151</v>
      </c>
      <c r="D33" s="46" t="s">
        <v>47</v>
      </c>
      <c r="E33" s="46" t="s">
        <v>152</v>
      </c>
      <c r="F33" s="46" t="s">
        <v>153</v>
      </c>
      <c r="G33" s="46" t="s">
        <v>50</v>
      </c>
      <c r="H33" s="47" t="s">
        <v>147</v>
      </c>
    </row>
    <row r="34" spans="1:8">
      <c r="A34" s="43">
        <v>30</v>
      </c>
      <c r="B34" s="52" t="s">
        <v>143</v>
      </c>
      <c r="C34" s="45" t="s">
        <v>154</v>
      </c>
      <c r="D34" s="46" t="s">
        <v>47</v>
      </c>
      <c r="E34" s="46" t="s">
        <v>155</v>
      </c>
      <c r="F34" s="46" t="s">
        <v>156</v>
      </c>
      <c r="G34" s="46" t="s">
        <v>50</v>
      </c>
      <c r="H34" s="47" t="s">
        <v>147</v>
      </c>
    </row>
    <row r="35" spans="1:8">
      <c r="A35" s="43">
        <v>31</v>
      </c>
      <c r="B35" s="52" t="s">
        <v>157</v>
      </c>
      <c r="C35" s="45" t="s">
        <v>158</v>
      </c>
      <c r="D35" s="46" t="s">
        <v>47</v>
      </c>
      <c r="E35" s="46" t="s">
        <v>159</v>
      </c>
      <c r="F35" s="46" t="s">
        <v>160</v>
      </c>
      <c r="G35" s="46" t="s">
        <v>161</v>
      </c>
      <c r="H35" s="47" t="s">
        <v>162</v>
      </c>
    </row>
    <row r="36" spans="1:8">
      <c r="A36" s="43">
        <v>32</v>
      </c>
      <c r="B36" s="53" t="s">
        <v>163</v>
      </c>
      <c r="C36" s="45" t="s">
        <v>164</v>
      </c>
      <c r="D36" s="46" t="s">
        <v>165</v>
      </c>
      <c r="E36" s="46" t="s">
        <v>166</v>
      </c>
      <c r="F36" s="46" t="s">
        <v>167</v>
      </c>
      <c r="G36" s="46" t="s">
        <v>161</v>
      </c>
      <c r="H36" s="47" t="s">
        <v>168</v>
      </c>
    </row>
    <row r="37" spans="1:8">
      <c r="A37" s="54"/>
      <c r="B37" s="55"/>
      <c r="C37" s="56"/>
      <c r="D37" s="57"/>
      <c r="E37" s="57"/>
      <c r="F37" s="57"/>
      <c r="G37" s="57"/>
      <c r="H37" s="58"/>
    </row>
    <row r="39" ht="34" customHeight="1" spans="1:8">
      <c r="A39" s="59"/>
      <c r="B39" s="59"/>
      <c r="C39" s="59"/>
      <c r="D39" s="59"/>
      <c r="E39" s="59"/>
      <c r="F39" s="59"/>
      <c r="G39" s="59"/>
      <c r="H39" s="59"/>
    </row>
  </sheetData>
  <mergeCells count="3">
    <mergeCell ref="A1:H1"/>
    <mergeCell ref="A2:H2"/>
    <mergeCell ref="A39:H39"/>
  </mergeCells>
  <conditionalFormatting sqref="G5:G37">
    <cfRule type="expression" dxfId="0" priority="1">
      <formula>OR(G5="新增",G5="建议配置")</formula>
    </cfRule>
    <cfRule type="expression" dxfId="1" priority="2">
      <formula>OR(G5="建议迁移",G5="从 USART3 迁移")</formula>
    </cfRule>
    <cfRule type="expression" dxfId="2" priority="3">
      <formula>G5="已配置，保留"</formula>
    </cfRule>
    <cfRule type="expression" dxfId="3" priority="4">
      <formula>G5="可选"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:F1"/>
    </sheetView>
  </sheetViews>
  <sheetFormatPr defaultColWidth="9" defaultRowHeight="14" outlineLevelCol="5"/>
  <cols>
    <col min="1" max="1" width="7" customWidth="1"/>
    <col min="2" max="2" width="18" customWidth="1"/>
    <col min="3" max="3" width="23" customWidth="1"/>
    <col min="4" max="4" width="24" customWidth="1"/>
    <col min="5" max="5" width="42" customWidth="1"/>
    <col min="6" max="6" width="13" customWidth="1"/>
  </cols>
  <sheetData>
    <row r="1" ht="28" customHeight="1" spans="1:6">
      <c r="A1" s="12" t="s">
        <v>169</v>
      </c>
      <c r="B1" s="12"/>
      <c r="C1" s="12"/>
      <c r="D1" s="12"/>
      <c r="E1" s="12"/>
      <c r="F1" s="12"/>
    </row>
    <row r="3" spans="1:6">
      <c r="A3" s="13" t="s">
        <v>2</v>
      </c>
      <c r="B3" s="13" t="s">
        <v>170</v>
      </c>
      <c r="C3" s="13" t="s">
        <v>171</v>
      </c>
      <c r="D3" s="13" t="s">
        <v>172</v>
      </c>
      <c r="E3" s="13" t="s">
        <v>173</v>
      </c>
      <c r="F3" s="13" t="s">
        <v>174</v>
      </c>
    </row>
    <row r="4" spans="1:6">
      <c r="A4" s="14">
        <v>1</v>
      </c>
      <c r="B4" s="15" t="s">
        <v>175</v>
      </c>
      <c r="C4" s="15" t="s">
        <v>176</v>
      </c>
      <c r="D4" s="15" t="s">
        <v>177</v>
      </c>
      <c r="E4" s="15" t="s">
        <v>178</v>
      </c>
      <c r="F4" s="16" t="s">
        <v>179</v>
      </c>
    </row>
    <row r="5" spans="1:6">
      <c r="A5" s="17">
        <v>2</v>
      </c>
      <c r="B5" s="18" t="s">
        <v>180</v>
      </c>
      <c r="C5" s="18" t="s">
        <v>181</v>
      </c>
      <c r="D5" s="18" t="s">
        <v>182</v>
      </c>
      <c r="E5" s="18" t="s">
        <v>183</v>
      </c>
      <c r="F5" s="19" t="s">
        <v>179</v>
      </c>
    </row>
    <row r="6" spans="1:6">
      <c r="A6" s="17">
        <v>3</v>
      </c>
      <c r="B6" s="18" t="s">
        <v>107</v>
      </c>
      <c r="C6" s="18" t="s">
        <v>184</v>
      </c>
      <c r="D6" s="18" t="s">
        <v>185</v>
      </c>
      <c r="E6" s="18" t="s">
        <v>186</v>
      </c>
      <c r="F6" s="19" t="s">
        <v>179</v>
      </c>
    </row>
    <row r="7" spans="1:6">
      <c r="A7" s="17">
        <v>4</v>
      </c>
      <c r="B7" s="18" t="s">
        <v>117</v>
      </c>
      <c r="C7" s="18" t="s">
        <v>184</v>
      </c>
      <c r="D7" s="18" t="s">
        <v>187</v>
      </c>
      <c r="E7" s="18" t="s">
        <v>186</v>
      </c>
      <c r="F7" s="19" t="s">
        <v>179</v>
      </c>
    </row>
    <row r="8" spans="1:6">
      <c r="A8" s="17">
        <v>5</v>
      </c>
      <c r="B8" s="18" t="s">
        <v>127</v>
      </c>
      <c r="C8" s="18" t="s">
        <v>188</v>
      </c>
      <c r="D8" s="18" t="s">
        <v>189</v>
      </c>
      <c r="E8" s="18" t="s">
        <v>190</v>
      </c>
      <c r="F8" s="19" t="s">
        <v>179</v>
      </c>
    </row>
    <row r="9" spans="1:6">
      <c r="A9" s="17">
        <v>6</v>
      </c>
      <c r="B9" s="18" t="s">
        <v>137</v>
      </c>
      <c r="C9" s="18" t="s">
        <v>188</v>
      </c>
      <c r="D9" s="18" t="s">
        <v>191</v>
      </c>
      <c r="E9" s="18" t="s">
        <v>192</v>
      </c>
      <c r="F9" s="19" t="s">
        <v>179</v>
      </c>
    </row>
    <row r="10" spans="1:6">
      <c r="A10" s="17">
        <v>7</v>
      </c>
      <c r="B10" s="18" t="s">
        <v>143</v>
      </c>
      <c r="C10" s="18" t="s">
        <v>188</v>
      </c>
      <c r="D10" s="18" t="s">
        <v>193</v>
      </c>
      <c r="E10" s="18" t="s">
        <v>194</v>
      </c>
      <c r="F10" s="19" t="s">
        <v>179</v>
      </c>
    </row>
    <row r="11" spans="1:6">
      <c r="A11" s="17">
        <v>8</v>
      </c>
      <c r="B11" s="18" t="s">
        <v>195</v>
      </c>
      <c r="C11" s="18" t="s">
        <v>188</v>
      </c>
      <c r="D11" s="18" t="s">
        <v>196</v>
      </c>
      <c r="E11" s="18" t="s">
        <v>194</v>
      </c>
      <c r="F11" s="19" t="s">
        <v>179</v>
      </c>
    </row>
    <row r="12" spans="1:6">
      <c r="A12" s="17">
        <v>9</v>
      </c>
      <c r="B12" s="18" t="s">
        <v>197</v>
      </c>
      <c r="C12" s="18" t="s">
        <v>188</v>
      </c>
      <c r="D12" s="18" t="s">
        <v>198</v>
      </c>
      <c r="E12" s="18" t="s">
        <v>199</v>
      </c>
      <c r="F12" s="19" t="s">
        <v>179</v>
      </c>
    </row>
    <row r="13" spans="1:6">
      <c r="A13" s="17">
        <v>10</v>
      </c>
      <c r="B13" s="18" t="s">
        <v>200</v>
      </c>
      <c r="C13" s="18" t="s">
        <v>188</v>
      </c>
      <c r="D13" s="18" t="s">
        <v>201</v>
      </c>
      <c r="E13" s="18" t="s">
        <v>202</v>
      </c>
      <c r="F13" s="19" t="s">
        <v>179</v>
      </c>
    </row>
    <row r="14" spans="1:6">
      <c r="A14" s="17">
        <v>11</v>
      </c>
      <c r="B14" s="18" t="s">
        <v>203</v>
      </c>
      <c r="C14" s="18" t="s">
        <v>204</v>
      </c>
      <c r="D14" s="18" t="s">
        <v>205</v>
      </c>
      <c r="E14" s="18" t="s">
        <v>206</v>
      </c>
      <c r="F14" s="19" t="s">
        <v>179</v>
      </c>
    </row>
    <row r="15" spans="1:6">
      <c r="A15" s="20">
        <v>12</v>
      </c>
      <c r="B15" s="21" t="s">
        <v>207</v>
      </c>
      <c r="C15" s="21" t="s">
        <v>208</v>
      </c>
      <c r="D15" s="21" t="s">
        <v>209</v>
      </c>
      <c r="E15" s="21" t="s">
        <v>210</v>
      </c>
      <c r="F15" s="22" t="s">
        <v>179</v>
      </c>
    </row>
    <row r="18" spans="1:6">
      <c r="A18" s="23" t="s">
        <v>211</v>
      </c>
      <c r="B18" s="23"/>
      <c r="C18" s="23"/>
      <c r="D18" s="23"/>
      <c r="E18" s="23"/>
      <c r="F18" s="23"/>
    </row>
    <row r="19" spans="1:6">
      <c r="A19" s="24" t="s">
        <v>212</v>
      </c>
      <c r="B19" s="25" t="s">
        <v>213</v>
      </c>
      <c r="C19" s="25" t="s">
        <v>214</v>
      </c>
      <c r="D19" s="26" t="s">
        <v>215</v>
      </c>
    </row>
    <row r="20" ht="28" spans="1:6">
      <c r="A20" s="27" t="s">
        <v>216</v>
      </c>
      <c r="B20" s="28" t="s">
        <v>217</v>
      </c>
      <c r="C20" s="28" t="s">
        <v>218</v>
      </c>
      <c r="D20" s="29" t="s">
        <v>219</v>
      </c>
    </row>
    <row r="21" spans="1:6">
      <c r="A21" s="27" t="s">
        <v>220</v>
      </c>
      <c r="B21" s="28" t="s">
        <v>221</v>
      </c>
      <c r="C21" s="28" t="s">
        <v>222</v>
      </c>
      <c r="D21" s="29" t="s">
        <v>223</v>
      </c>
    </row>
    <row r="22" spans="1:6">
      <c r="A22" s="27" t="s">
        <v>224</v>
      </c>
      <c r="B22" s="28" t="s">
        <v>225</v>
      </c>
      <c r="C22" s="28" t="s">
        <v>226</v>
      </c>
      <c r="D22" s="29" t="s">
        <v>227</v>
      </c>
    </row>
    <row r="23" ht="28" spans="1:6">
      <c r="A23" s="30" t="s">
        <v>228</v>
      </c>
      <c r="B23" s="31" t="s">
        <v>138</v>
      </c>
      <c r="C23" s="31" t="s">
        <v>229</v>
      </c>
      <c r="D23" s="32" t="s">
        <v>230</v>
      </c>
    </row>
  </sheetData>
  <mergeCells count="2">
    <mergeCell ref="A1:F1"/>
    <mergeCell ref="A18:F18"/>
  </mergeCells>
  <conditionalFormatting sqref="F4:F15">
    <cfRule type="expression" dxfId="4" priority="1">
      <formula>F4="已完成"</formula>
    </cfRule>
    <cfRule type="expression" dxfId="5" priority="2">
      <formula>F4="有问题"</formula>
    </cfRule>
    <cfRule type="expression" dxfId="6" priority="3">
      <formula>F4="待核对"</formula>
    </cfRule>
  </conditionalFormatting>
  <dataValidations count="1">
    <dataValidation type="list" sqref="F4:F15">
      <formula1>"待核对,已完成,有问题,不适用"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:D1"/>
    </sheetView>
  </sheetViews>
  <sheetFormatPr defaultColWidth="9" defaultRowHeight="14" outlineLevelRow="6" outlineLevelCol="3"/>
  <cols>
    <col min="1" max="1" width="14" customWidth="1"/>
    <col min="2" max="2" width="36" customWidth="1"/>
    <col min="3" max="3" width="65" customWidth="1"/>
    <col min="4" max="4" width="45" customWidth="1"/>
  </cols>
  <sheetData>
    <row r="1" ht="19" spans="1:4">
      <c r="A1" s="1" t="s">
        <v>231</v>
      </c>
      <c r="B1" s="1"/>
      <c r="C1" s="1"/>
      <c r="D1" s="1"/>
    </row>
    <row r="3" spans="1:4">
      <c r="A3" s="2" t="s">
        <v>232</v>
      </c>
      <c r="B3" s="2" t="s">
        <v>233</v>
      </c>
      <c r="C3" s="2" t="s">
        <v>234</v>
      </c>
      <c r="D3" s="2" t="s">
        <v>235</v>
      </c>
    </row>
    <row r="4" ht="28" spans="1:4">
      <c r="A4" s="3" t="s">
        <v>236</v>
      </c>
      <c r="B4" s="4" t="s">
        <v>237</v>
      </c>
      <c r="C4" s="4" t="s">
        <v>238</v>
      </c>
      <c r="D4" s="5" t="s">
        <v>239</v>
      </c>
    </row>
    <row r="5" ht="28" spans="1:4">
      <c r="A5" s="6" t="s">
        <v>240</v>
      </c>
      <c r="B5" s="7" t="s">
        <v>241</v>
      </c>
      <c r="C5" s="7" t="s">
        <v>242</v>
      </c>
      <c r="D5" s="8" t="s">
        <v>243</v>
      </c>
    </row>
    <row r="6" ht="28" spans="1:4">
      <c r="A6" s="6" t="s">
        <v>244</v>
      </c>
      <c r="B6" s="7" t="s">
        <v>245</v>
      </c>
      <c r="C6" s="7" t="s">
        <v>246</v>
      </c>
      <c r="D6" s="8" t="s">
        <v>247</v>
      </c>
    </row>
    <row r="7" spans="1:4">
      <c r="A7" s="9" t="s">
        <v>248</v>
      </c>
      <c r="B7" s="10" t="s">
        <v>249</v>
      </c>
      <c r="C7" s="10" t="s">
        <v>250</v>
      </c>
      <c r="D7" s="11" t="s">
        <v>251</v>
      </c>
    </row>
  </sheetData>
  <mergeCells count="1">
    <mergeCell ref="A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引脚配置表</vt:lpstr>
      <vt:lpstr>变更与检查</vt:lpstr>
      <vt:lpstr>说明与来源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叶文捷</cp:lastModifiedBy>
  <dcterms:created xsi:type="dcterms:W3CDTF">2026-07-29T06:39:22Z</dcterms:created>
  <dcterms:modified xsi:type="dcterms:W3CDTF">2026-07-29T07:12:42Z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863C3DA21FD74C5B991903BFAF7DC219_12</vt:lpwstr>
  </property>
  <property fmtid="{D5CDD505-2E9C-101B-9397-08002B2CF9AE}" pid="3" name="KSOProductBuildVer">
    <vt:lpwstr>2052-12.1.0.23542</vt:lpwstr>
  </property>
</Properties>
</file>